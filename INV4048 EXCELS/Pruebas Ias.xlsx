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35" windowHeight="7620"/>
  </bookViews>
  <sheets>
    <sheet name="Descript" sheetId="1" r:id="rId1"/>
    <sheet name="Metric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<sst xmlns="http://schemas.openxmlformats.org/spreadsheetml/2006/main" count="192" uniqueCount="151">
  <si>
    <t>VideoNumber Sheets</t>
  </si>
  <si>
    <t>Video Name</t>
  </si>
  <si>
    <t>Start</t>
  </si>
  <si>
    <t>End</t>
  </si>
  <si>
    <t>Language</t>
  </si>
  <si>
    <t>Description Oficial</t>
  </si>
  <si>
    <t>--&gt; Traducción</t>
  </si>
  <si>
    <t>Open IA Eng</t>
  </si>
  <si>
    <t>Open IA</t>
  </si>
  <si>
    <t>Claude Eng</t>
  </si>
  <si>
    <t>Claude</t>
  </si>
  <si>
    <t>Grok Eng</t>
  </si>
  <si>
    <t>Grok</t>
  </si>
  <si>
    <t>Gemini Eng</t>
  </si>
  <si>
    <t>Gemini</t>
  </si>
  <si>
    <t>0001_American_Beauty_00.07.29.926-00.07.36.739</t>
  </si>
  <si>
    <t>00.07.29.926</t>
  </si>
  <si>
    <t>00.07.36.739</t>
  </si>
  <si>
    <t>English</t>
  </si>
  <si>
    <t>Carolyn is watching this closely.</t>
  </si>
  <si>
    <t xml:space="preserve">
Carolyn observa atentamente.</t>
  </si>
  <si>
    <t>Dining room with three people, dim lighting, solemn atmosphere.</t>
  </si>
  <si>
    <t>Tres personas cenan alrededor de una mesa elegantemente arreglada con velas encendidas y flores rojas.</t>
  </si>
  <si>
    <t>Three people dine in tense silence at an elegant candlelit table, avoiding each other's gaze.</t>
  </si>
  <si>
    <t>Tres personas cenan formalmente en silencio, evitando mirarse, bajo la tenue luz de velas.</t>
  </si>
  <si>
    <t>Three people dine at a rectangular table in a dimly lit room with muted green walls. A centerpiece of red flowers and candles casts a warm glow.</t>
  </si>
  <si>
    <t>Tres personas cenan en una sala de estar decorada con elegancia. La mesa está adornada con flores y velas, creando un ambiente íntimo.</t>
  </si>
  <si>
    <t>Dimly lit dining room; three seated; tense silence; red roses centerpiece.</t>
  </si>
  <si>
    <t>Cena familiar tensa.  Tres personas, expresiones serias, silencio incómodo.  Mesa con rosas rojas, ambiente sombrío.</t>
  </si>
  <si>
    <t xml:space="preserve">1060_Yes_man_01.10.46.062-01.10.51.611 </t>
  </si>
  <si>
    <t>01.10.46.062</t>
  </si>
  <si>
    <t>01.10.51.611</t>
  </si>
  <si>
    <t>A uniformed band plays at the packed Nebraska Cornhuskers Memorial Stadium.</t>
  </si>
  <si>
    <t>Una banda uniformada toca en el abarrotado Estadio Memorial de los Nebraska Cornhuskers.</t>
  </si>
  <si>
    <t>Bright uniforms, energetic drumming, and a vibrant stadium scene.</t>
  </si>
  <si>
    <t>Los miembros de una banda marchan con trajes blancos y dorados, orgullo.</t>
  </si>
  <si>
    <t>Husker band members align their gleaming cymbals, while their pristine uniforms shine in formation.</t>
  </si>
  <si>
    <t>Banda universitaria Nebraska desfila con uniformes blancos y rojos, exhibiendo platillos</t>
  </si>
  <si>
    <t>A marching band performs in vibrant uniforms, playing cymbals in unison. The uniforms feature a red and gold \"NJ\" logo, indicating New Jersey.</t>
  </si>
  <si>
    <t>Músicos de una banda desfilan en un evento diurno, con uniformes blancos, rojos y dorados, tocando platillos dorados. La banda tiene el logotipo \"NJ\" en rojo en sus chaquetas.</t>
  </si>
  <si>
    <t>Energetic drummers in white uniforms with \"Nebraska\" and \"Husker Band\" logos rhythmically play snare drums.</t>
  </si>
  <si>
    <t>Banda marcial toca platillos; uniformes blancos, rojos y dorados; logo \"NU\" en parche.</t>
  </si>
  <si>
    <t xml:space="preserve">1002_Harry_Potter_and_the_Half-Blood_Prince_01.40.28.110-01.40.35.798 </t>
  </si>
  <si>
    <t>01.40.28.110</t>
  </si>
  <si>
    <t>01.40.35.798</t>
  </si>
  <si>
    <t>Standing in front of the unicorn tapestry, Harry takes Ginny's outstretched hand and grips it firmly.</t>
  </si>
  <si>
    <t>De pie frente al tapiz del unicornio, Harry toma la mano extendida de Ginny y la aprieta con fuerza.</t>
  </si>
  <si>
    <t>A woman reaches toward a unicorn tapestry; atmosphere serene, with warm, dim lighting.</t>
  </si>
  <si>
    <t>Una joven extiende su brazo hacia un tapiz con un unicornio, en un ambiente de interés y misterio.</t>
  </si>
  <si>
    <t>A young woman in white reaches toward an illuminated circular wall design with a deer motif, creating a mystical moment</t>
  </si>
  <si>
    <t>Joven de cabello largo en suéter blanco extiende sus manos hacia un diseño circular místico en pared oscura</t>
  </si>
  <si>
    <t>A young woman with long hair in a white top reaches out towards a tapestry with a white unicorn in a circular frame.</t>
  </si>
  <si>
    <t>Una joven de cabello castaño extiende sus manos hacia algo invisible, su rostro muestra asombro. Detrás, un tapiz con un unicornio blanco.</t>
  </si>
  <si>
    <t>Girl reaches for tapestry; unicorn, caged</t>
  </si>
  <si>
    <t>Niña contempla tapiz; unicornio blanco resalta en ocres.  Brazos extendidos, mirada serena.  Iluminación tenue, atmósfera misteriosa.</t>
  </si>
  <si>
    <t xml:space="preserve">1008_Spider-Man2_01.22.45.389-01.22.51.682 </t>
  </si>
  <si>
    <t>01.22.45.389</t>
  </si>
  <si>
    <t xml:space="preserve">01.22.51.682 </t>
  </si>
  <si>
    <t>Harry, his face grim and curious, steps forward towards the balustrade.</t>
  </si>
  <si>
    <t xml:space="preserve">Harry, con el rostro sombrío y curioso, avanza hacia la balaustrada.
</t>
  </si>
  <si>
    <t>Young man in dimly lit room, wearing suit, looks concerned and focused.</t>
  </si>
  <si>
    <t>Un hombre joven, en traje de rayas, exhibe sorpresa y preocupación en un ambiente oscuro con luces tenues. Intensidad emocional alta y tensa.</t>
  </si>
  <si>
    <t>A man in a pinstriped suit glares intensely, his jaw clenched with fury as shadows dance across his face.</t>
  </si>
  <si>
    <t>Joven de traje rayado y camisa rosa muestra expresión molesta en ambiente oscuro con lámparas tenues</t>
  </si>
  <si>
    <t>A young man in a pinstripe suit stands in a dimly lit hallway, his expression concerned.</t>
  </si>
  <si>
    <t>Un joven de 20 años, con traje oscuro y camisa rosa, camina decidido por un pasillo elegante con luces cálidas.</t>
  </si>
  <si>
    <t>Worried young man, dark suit, pale shirt, furrowed brow. Dimly lit hallway, blurry background.  Urgent atmosphere.</t>
  </si>
  <si>
    <t>Joven preocupado, traje oscuro, rostro tenso. Ambiente sombrío.</t>
  </si>
  <si>
    <t>1031_Quantum_of_Solace_00.56.07.294-00.56.17.149</t>
  </si>
  <si>
    <t>00.56.07.294</t>
  </si>
  <si>
    <t>00.56.17.149</t>
  </si>
  <si>
    <t>He kisses her naked back.</t>
  </si>
  <si>
    <t>La besa en la espalda desnuda.</t>
  </si>
  <si>
    <t>A woman with auburn hair sits facing away, slightly smiling with contentment. Warm lighting creates an intimate, cozy setting.</t>
  </si>
  <si>
    <t>Una mujer de cabello castaño, perfil sereno, ojos cerrados, apoya su mejilla en la mano. Fondo cálido de diseño clásico.</t>
  </si>
  <si>
    <t>In a warmly lit room, a person with auburn hair tilts their head with closed eyes, while another figure leans close behind. Their gentle expressions convey serenity.</t>
  </si>
  <si>
    <t>En una habitación tenuemente iluminada, dos personas comparten un momento cercano. La luz cálida crea sombras suaves en las paredes claras.</t>
  </si>
  <si>
    <t>A man with short blonde hair kisses the neck of a woman with long red hair in a dimly lit room with large windows and soft lighting.</t>
  </si>
  <si>
    <t xml:space="preserve">En una habitación oscura, un hombre rubio y una mujer de cabello castaño están íntimamente cerca. </t>
  </si>
  <si>
    <t>Dimly lit bedroom; auburn-haired woman serenely rests, man's muscular back visible nearby.  Quiet intimacy fills the luxurious space.</t>
  </si>
  <si>
    <t>Habitación oscura, elegante.  Mujer de cabello rojizo, recostada; hombre musculoso la besa.  Atmósfera íntima y serena.</t>
  </si>
  <si>
    <t>1046_Australia_00.41.33.001-00.41.36.824</t>
  </si>
  <si>
    <t>00.41.33.001</t>
  </si>
  <si>
    <t>00.41.36.824</t>
  </si>
  <si>
    <t>The sun beats down on the homestead and the windmill turns slowly.</t>
  </si>
  <si>
    <t>El sol cae a plomo sobre la finca y el molino gira lentamente.</t>
  </si>
  <si>
    <t>ast dry landscape, rocky mountains, yellow-clad figure.</t>
  </si>
  <si>
    <t>Una figura femenina camina con un balde azul. Un paisaje árido, casa rústica y molino de viento sugieren desolación.</t>
  </si>
  <si>
    <t>A lone figure crosses the desert beneath a mesa.</t>
  </si>
  <si>
    <t>Molino y casa antigua en desierto montañoso</t>
  </si>
  <si>
    <t>A small settlement stands in an arid landscape. A wooden structure and a house with a porch are visible. A child walks with a yellow container.</t>
  </si>
  <si>
    <t>En un desierto árido, una cabaña vieja y una estructura metálica oxidada se alzan. Un niño con mochila amarilla camina hacia la cabaña.</t>
  </si>
  <si>
    <t>Lonely figure grieves in shadowed cell.</t>
  </si>
  <si>
    <t>Mujer se aleja, maleta azul, casa colonial deteriorada, paisaje desértico.</t>
  </si>
  <si>
    <t>2005_Signs_01.30.23.997-01.30.28.122</t>
  </si>
  <si>
    <t>01.30.23.997</t>
  </si>
  <si>
    <t>01.30.28.122</t>
  </si>
  <si>
    <t>Graham unclips the baby monitor from his son's belt.</t>
  </si>
  <si>
    <t>Graham le quita el monitor de bebé del cinturón a su hijo.</t>
  </si>
  <si>
    <t>Amidst dim light, two worried men focus on a small object.</t>
  </si>
  <si>
    <t>Tres personas en una habitación oscura y tensa. Un hombre sostiene un inhalador blanco, se inclina hacia un niño inconsciente en camisa de cuadros.</t>
  </si>
  <si>
    <t>A tense figure examines object as shadow looms behind.</t>
  </si>
  <si>
    <t>Dos hombres examinan objeto junto a persona dormida</t>
  </si>
  <si>
    <t>A man sits in a dim attic, holding an inhaler, concerned. A boy lies beside him, distressed. Another man watches.</t>
  </si>
  <si>
    <t>Un hombre preocupado sostiene un inhalador, un niño duerme a su lado, otro hombre observa serio.</t>
  </si>
  <si>
    <t>Man cradles woman; shadowed figure watches.</t>
  </si>
  <si>
    <t>Sótano oscuro. Hombre ansioso manipula objeto azul. Niña inmóvil.</t>
  </si>
  <si>
    <t>2026_Legion_00.07.19.494-00.07.24.673</t>
  </si>
  <si>
    <t>00.07.19.494</t>
  </si>
  <si>
    <t>00.07.24.673</t>
  </si>
  <si>
    <t>One of the trailer doors CREAKS open and Jeep steps wearily out into the cool western morning.</t>
  </si>
  <si>
    <t>Una de las puertas del remolque se abre con un crujido y el Jeep sale con cansancio a la fresca mañana del oeste.</t>
  </si>
  <si>
    <t>Vintage trailer, teal sky, warm lights, relaxed evening vibe.</t>
  </si>
  <si>
    <t>Caravana vintage iluminada con luces colgantes en el desierto.</t>
  </si>
  <si>
    <t>An aluminum trailer glows under string lights as dusk paints the sky turquoise.</t>
  </si>
  <si>
    <t>Caravana vintage plateada bajo luces festivas en cielo turquesa nocturno</t>
  </si>
  <si>
    <t>A vintage trailer sits in a desolate landscape, adorned with warm lights. A figure in dark clothing stands nearby, adding solitude.</t>
  </si>
  <si>
    <t>Una caravana vintage plateada en un terreno abierto, decorada con luces de colores.</t>
  </si>
  <si>
    <t>Desolate desert twilight; silver caravan gleams.</t>
  </si>
  <si>
    <t>Caravana plateada en desierto crepuscular; luces titilantes; objetos abandonados</t>
  </si>
  <si>
    <t xml:space="preserve">2017_Bad_Santa_01.17.44.721-01.17.50.360 </t>
  </si>
  <si>
    <t>01.17.44.721</t>
  </si>
  <si>
    <t xml:space="preserve">01.17.50.360 </t>
  </si>
  <si>
    <t>Marcus seems to have a little difficulty reaching the battery terminals.</t>
  </si>
  <si>
    <t>Marcus parece tener cierta dificultad para alcanzar los terminales de la batería.</t>
  </si>
  <si>
    <t>A man in a brown suit stands beside a car at night, emitting vigilance.</t>
  </si>
  <si>
    <t>Hombres revisan motor de auto de noche, atentos en un entorno en penumbra.</t>
  </si>
  <si>
    <t>A man in tan suit towers menacingly over someone crouched by a car's headlights.</t>
  </si>
  <si>
    <t>Hombre amenazante en traje acecha junto a auto con faros en noche tenebrosa</t>
  </si>
  <si>
    <t>A man in a suit watches another fix a car at night, surrounded by foliage.</t>
  </si>
  <si>
    <t>En una noche oscura, dos hombres trabajan en un coche en un bosque. Uno observa preocupado, el otro repara el motor.</t>
  </si>
  <si>
    <t>Nightfall.  A silver SUV's open hood reveals a boy fixing jumper cables; an older man watches intently.</t>
  </si>
  <si>
    <t>Hombre serio observa a un joven arreglar un Chevrolet.</t>
  </si>
  <si>
    <t>2054_Harry_Potter_and_the_prisoner_of_azkaban_02.02.43.012-02.02.47.973</t>
  </si>
  <si>
    <t>02.02.43.012-02</t>
  </si>
  <si>
    <t>02.02.47.973</t>
  </si>
  <si>
    <t>Sirius paces within a SMALL CELL, a man condemned.</t>
  </si>
  <si>
    <t>Sirius camina dentro de una CELDA PEQUEÑA, un hombre condenado.</t>
  </si>
  <si>
    <t>An old stone archway reveals a dim, eerie environment.</t>
  </si>
  <si>
    <t>Barras metálicas se cruzan sobre un hombre cansado.</t>
  </si>
  <si>
    <t>A lone figure slumps against stone walls in an eerie blue-lit cell</t>
  </si>
  <si>
    <t>Prisionero solitario yace inmóvil contra muros fríos de mazmorra oscura</t>
  </si>
  <si>
    <t>A man sits in a dimly lit cell, head bowed.</t>
  </si>
  <si>
    <t>Un hombre joven está en una celda oscura, apoyado contra la pared de piedra. La luz tenue proyecta sombras sobre él, su expresión es de resignación y tristeza.</t>
  </si>
  <si>
    <t>Oscuro patio, reja gótica, sombra alargada. Hombre desamparado.</t>
  </si>
  <si>
    <t>VideoID</t>
  </si>
  <si>
    <t>Métrica</t>
  </si>
  <si>
    <t>CiDer</t>
  </si>
  <si>
    <t>BleuRT</t>
  </si>
  <si>
    <t>Rouge</t>
  </si>
  <si>
    <t>Prom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</si>
</sst>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#,##0.00000000"/>
  </numFmts>
  <fonts count="24">
    <font>
      <sz val="11"/>
      <color theme="1"/>
      <name val="Calibri"/>
      <charset val="134"/>
      <scheme val="minor"/>
    </font>
    <font>
      <b/>
      <sz val="11"/>
      <color indexed="9"/>
      <name val="Aptos Narrow"/>
      <charset val="134"/>
    </font>
    <font>
      <b/>
      <sz val="11"/>
      <color rgb="FFFFFFFF"/>
      <name val="Aptos Narrow"/>
      <charset val="0"/>
    </font>
    <font>
      <sz val="11"/>
      <color indexed="8"/>
      <name val="Aptos Narrow"/>
      <charset val="134"/>
    </font>
    <font>
      <sz val="10.5"/>
      <color rgb="FF1F1F1F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4EA72E"/>
        <bgColor indexed="64"/>
      </patternFill>
    </fill>
    <fill>
      <patternFill patternType="solid">
        <fgColor rgb="FF4EA72E"/>
        <bgColor rgb="FF4EA72E"/>
      </patternFill>
    </fill>
    <fill>
      <patternFill patternType="solid">
        <fgColor rgb="FFFFC000"/>
        <bgColor rgb="FF4EA72E"/>
      </patternFill>
    </fill>
    <fill>
      <patternFill patternType="solid">
        <fgColor theme="6" tint="-0.5"/>
        <bgColor rgb="FF4EA72E"/>
      </patternFill>
    </fill>
    <fill>
      <patternFill patternType="solid">
        <fgColor theme="4" tint="0.4"/>
        <bgColor rgb="FF4EA72E"/>
      </patternFill>
    </fill>
    <fill>
      <patternFill patternType="solid">
        <fgColor rgb="FFDAF2D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5"/>
        <bgColor rgb="FF4EA72E"/>
      </patternFill>
    </fill>
    <fill>
      <patternFill patternType="solid">
        <fgColor rgb="FF215C98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2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3" borderId="12" applyNumberFormat="0" applyAlignment="0" applyProtection="0">
      <alignment vertical="center"/>
    </xf>
    <xf numFmtId="0" fontId="14" fillId="14" borderId="13" applyNumberFormat="0" applyAlignment="0" applyProtection="0">
      <alignment vertical="center"/>
    </xf>
    <xf numFmtId="0" fontId="15" fillId="14" borderId="12" applyNumberFormat="0" applyAlignment="0" applyProtection="0">
      <alignment vertical="center"/>
    </xf>
    <xf numFmtId="0" fontId="16" fillId="15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0" fillId="7" borderId="2" xfId="0" applyFont="1" applyFill="1" applyBorder="1" applyAlignment="1"/>
    <xf numFmtId="178" fontId="0" fillId="7" borderId="2" xfId="1" applyNumberFormat="1" applyFont="1" applyFill="1" applyBorder="1" applyAlignment="1"/>
    <xf numFmtId="0" fontId="0" fillId="7" borderId="2" xfId="1" applyNumberFormat="1" applyFont="1" applyFill="1" applyBorder="1" applyAlignment="1"/>
    <xf numFmtId="0" fontId="0" fillId="0" borderId="0" xfId="1" applyNumberFormat="1" applyFont="1" applyFill="1" applyBorder="1" applyAlignment="1"/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0" fillId="8" borderId="2" xfId="0" applyFont="1" applyFill="1" applyBorder="1" applyAlignment="1"/>
    <xf numFmtId="0" fontId="3" fillId="0" borderId="4" xfId="0" applyFont="1" applyFill="1" applyBorder="1" applyAlignment="1">
      <alignment horizontal="center" vertical="center"/>
    </xf>
    <xf numFmtId="0" fontId="0" fillId="0" borderId="2" xfId="0" applyFont="1" applyFill="1" applyBorder="1" applyAlignment="1"/>
    <xf numFmtId="0" fontId="0" fillId="0" borderId="2" xfId="1" applyNumberFormat="1" applyFont="1" applyBorder="1" applyAlignment="1"/>
    <xf numFmtId="0" fontId="3" fillId="0" borderId="5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6" xfId="0" applyFont="1" applyFill="1" applyBorder="1" applyAlignment="1">
      <alignment horizontal="center" vertical="center"/>
    </xf>
    <xf numFmtId="0" fontId="0" fillId="8" borderId="2" xfId="1" applyNumberFormat="1" applyFont="1" applyFill="1" applyBorder="1" applyAlignment="1"/>
    <xf numFmtId="0" fontId="0" fillId="0" borderId="0" xfId="0" applyFont="1" applyFill="1" applyAlignment="1"/>
    <xf numFmtId="178" fontId="0" fillId="0" borderId="2" xfId="0" applyNumberFormat="1" applyFont="1" applyFill="1" applyBorder="1" applyAlignment="1"/>
    <xf numFmtId="178" fontId="0" fillId="0" borderId="0" xfId="0" applyNumberFormat="1" applyFont="1" applyFill="1" applyBorder="1" applyAlignment="1"/>
    <xf numFmtId="3" fontId="0" fillId="0" borderId="0" xfId="1" applyNumberFormat="1" applyFont="1" applyFill="1" applyBorder="1" applyAlignment="1"/>
    <xf numFmtId="0" fontId="2" fillId="9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0" fillId="11" borderId="0" xfId="0" applyFill="1" applyAlignment="1">
      <alignment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18"/>
  <sheetViews>
    <sheetView tabSelected="1" zoomScale="55" zoomScaleNormal="55" workbookViewId="0">
      <selection activeCell="I5" sqref="I5"/>
    </sheetView>
  </sheetViews>
  <sheetFormatPr defaultColWidth="9.14285714285714" defaultRowHeight="15"/>
  <cols>
    <col min="2" max="2" width="41.4285714285714" customWidth="1"/>
    <col min="3" max="3" width="36.7142857142857" customWidth="1"/>
    <col min="4" max="4" width="16.4285714285714" customWidth="1"/>
    <col min="5" max="5" width="16.5714285714286" customWidth="1"/>
    <col min="6" max="6" width="22.7142857142857" customWidth="1"/>
    <col min="7" max="7" width="23.2857142857143" customWidth="1"/>
    <col min="8" max="8" width="31.7142857142857" customWidth="1"/>
    <col min="9" max="10" width="27.1428571428571" customWidth="1"/>
    <col min="11" max="12" width="20.8571428571429" customWidth="1"/>
    <col min="13" max="14" width="16.7142857142857" customWidth="1"/>
    <col min="15" max="16" width="22.4285714285714" customWidth="1"/>
  </cols>
  <sheetData>
    <row r="1" ht="14" customHeight="1"/>
    <row r="2" hidden="1"/>
    <row r="3" ht="19" customHeight="1" spans="2:16">
      <c r="B3" s="28" t="s">
        <v>0</v>
      </c>
      <c r="C3" s="29" t="s">
        <v>1</v>
      </c>
      <c r="D3" s="29" t="s">
        <v>2</v>
      </c>
      <c r="E3" s="29" t="s">
        <v>3</v>
      </c>
      <c r="F3" s="29" t="s">
        <v>4</v>
      </c>
      <c r="G3" s="29" t="s">
        <v>5</v>
      </c>
      <c r="H3" s="30" t="s">
        <v>6</v>
      </c>
      <c r="I3" s="36" t="s">
        <v>7</v>
      </c>
      <c r="J3" s="36" t="s">
        <v>8</v>
      </c>
      <c r="K3" s="37" t="s">
        <v>9</v>
      </c>
      <c r="L3" s="37" t="s">
        <v>10</v>
      </c>
      <c r="M3" s="38" t="s">
        <v>11</v>
      </c>
      <c r="N3" s="38" t="s">
        <v>12</v>
      </c>
      <c r="O3" s="39" t="s">
        <v>13</v>
      </c>
      <c r="P3" s="39" t="s">
        <v>14</v>
      </c>
    </row>
    <row r="4" ht="150" spans="2:16">
      <c r="B4" s="31">
        <v>56</v>
      </c>
      <c r="C4" s="31" t="s">
        <v>15</v>
      </c>
      <c r="D4" s="32" t="s">
        <v>16</v>
      </c>
      <c r="E4" s="31" t="s">
        <v>17</v>
      </c>
      <c r="F4" s="31" t="s">
        <v>18</v>
      </c>
      <c r="G4" s="31" t="s">
        <v>19</v>
      </c>
      <c r="H4" s="31" t="s">
        <v>20</v>
      </c>
      <c r="I4" s="31" t="s">
        <v>21</v>
      </c>
      <c r="J4" s="31" t="s">
        <v>22</v>
      </c>
      <c r="K4" s="40" t="s">
        <v>23</v>
      </c>
      <c r="L4" s="40" t="s">
        <v>24</v>
      </c>
      <c r="M4" s="40" t="s">
        <v>25</v>
      </c>
      <c r="N4" s="40" t="s">
        <v>26</v>
      </c>
      <c r="O4" s="40" t="s">
        <v>27</v>
      </c>
      <c r="P4" s="40" t="s">
        <v>28</v>
      </c>
    </row>
    <row r="5" ht="165" spans="2:16">
      <c r="B5" s="33">
        <v>61707</v>
      </c>
      <c r="C5" s="34" t="s">
        <v>29</v>
      </c>
      <c r="D5" s="34" t="s">
        <v>30</v>
      </c>
      <c r="E5" s="34" t="s">
        <v>31</v>
      </c>
      <c r="F5" s="34" t="s">
        <v>18</v>
      </c>
      <c r="G5" s="34" t="s">
        <v>32</v>
      </c>
      <c r="H5" s="34" t="s">
        <v>33</v>
      </c>
      <c r="I5" s="34" t="s">
        <v>34</v>
      </c>
      <c r="J5" s="34" t="s">
        <v>35</v>
      </c>
      <c r="K5" s="35" t="s">
        <v>36</v>
      </c>
      <c r="L5" s="35" t="s">
        <v>37</v>
      </c>
      <c r="M5" s="35" t="s">
        <v>38</v>
      </c>
      <c r="N5" s="35" t="s">
        <v>39</v>
      </c>
      <c r="O5" s="35" t="s">
        <v>40</v>
      </c>
      <c r="P5" s="35" t="s">
        <v>41</v>
      </c>
    </row>
    <row r="6" ht="135" spans="2:16">
      <c r="B6" s="31">
        <v>27229</v>
      </c>
      <c r="C6" s="31" t="s">
        <v>42</v>
      </c>
      <c r="D6" s="32" t="s">
        <v>43</v>
      </c>
      <c r="E6" s="31" t="s">
        <v>44</v>
      </c>
      <c r="F6" s="31" t="s">
        <v>18</v>
      </c>
      <c r="G6" s="31" t="s">
        <v>45</v>
      </c>
      <c r="H6" s="31" t="s">
        <v>46</v>
      </c>
      <c r="I6" s="31" t="s">
        <v>47</v>
      </c>
      <c r="J6" s="31" t="s">
        <v>48</v>
      </c>
      <c r="K6" s="40" t="s">
        <v>49</v>
      </c>
      <c r="L6" s="40" t="s">
        <v>50</v>
      </c>
      <c r="M6" s="40" t="s">
        <v>51</v>
      </c>
      <c r="N6" s="40" t="s">
        <v>52</v>
      </c>
      <c r="O6" s="40" t="s">
        <v>53</v>
      </c>
      <c r="P6" s="40" t="s">
        <v>54</v>
      </c>
    </row>
    <row r="7" ht="105" spans="2:16">
      <c r="B7" s="34">
        <v>31224</v>
      </c>
      <c r="C7" s="34" t="s">
        <v>55</v>
      </c>
      <c r="D7" s="33" t="s">
        <v>56</v>
      </c>
      <c r="E7" s="34" t="s">
        <v>57</v>
      </c>
      <c r="F7" s="34" t="s">
        <v>18</v>
      </c>
      <c r="G7" s="34" t="s">
        <v>58</v>
      </c>
      <c r="H7" s="34" t="s">
        <v>59</v>
      </c>
      <c r="I7" s="34" t="s">
        <v>60</v>
      </c>
      <c r="J7" s="34" t="s">
        <v>61</v>
      </c>
      <c r="K7" s="35" t="s">
        <v>62</v>
      </c>
      <c r="L7" s="35" t="s">
        <v>63</v>
      </c>
      <c r="M7" s="35" t="s">
        <v>64</v>
      </c>
      <c r="N7" s="35" t="s">
        <v>65</v>
      </c>
      <c r="O7" s="35" t="s">
        <v>66</v>
      </c>
      <c r="P7" s="35" t="s">
        <v>67</v>
      </c>
    </row>
    <row r="8" ht="135" spans="2:16">
      <c r="B8" s="31">
        <v>43593</v>
      </c>
      <c r="C8" s="31" t="s">
        <v>68</v>
      </c>
      <c r="D8" s="32" t="s">
        <v>69</v>
      </c>
      <c r="E8" s="31" t="s">
        <v>70</v>
      </c>
      <c r="F8" s="31" t="s">
        <v>18</v>
      </c>
      <c r="G8" s="31" t="s">
        <v>71</v>
      </c>
      <c r="H8" s="31" t="s">
        <v>72</v>
      </c>
      <c r="I8" s="31" t="s">
        <v>73</v>
      </c>
      <c r="J8" s="31" t="s">
        <v>74</v>
      </c>
      <c r="K8" s="40" t="s">
        <v>75</v>
      </c>
      <c r="L8" s="40" t="s">
        <v>76</v>
      </c>
      <c r="M8" s="40" t="s">
        <v>77</v>
      </c>
      <c r="N8" s="40" t="s">
        <v>78</v>
      </c>
      <c r="O8" s="40" t="s">
        <v>79</v>
      </c>
      <c r="P8" s="40" t="s">
        <v>80</v>
      </c>
    </row>
    <row r="9" ht="150" spans="2:16">
      <c r="B9" s="34">
        <v>51271</v>
      </c>
      <c r="C9" t="s">
        <v>81</v>
      </c>
      <c r="D9" s="33" t="s">
        <v>82</v>
      </c>
      <c r="E9" s="34" t="s">
        <v>83</v>
      </c>
      <c r="F9" s="34" t="s">
        <v>18</v>
      </c>
      <c r="G9" s="34" t="s">
        <v>84</v>
      </c>
      <c r="H9" s="34" t="s">
        <v>85</v>
      </c>
      <c r="I9" s="34" t="s">
        <v>86</v>
      </c>
      <c r="J9" s="34" t="s">
        <v>87</v>
      </c>
      <c r="K9" s="35" t="s">
        <v>88</v>
      </c>
      <c r="L9" s="35" t="s">
        <v>89</v>
      </c>
      <c r="M9" s="35" t="s">
        <v>90</v>
      </c>
      <c r="N9" s="35" t="s">
        <v>91</v>
      </c>
      <c r="O9" s="35" t="s">
        <v>92</v>
      </c>
      <c r="P9" s="35" t="s">
        <v>93</v>
      </c>
    </row>
    <row r="10" ht="120" spans="2:16">
      <c r="B10" s="31">
        <v>64101</v>
      </c>
      <c r="C10" s="31" t="s">
        <v>94</v>
      </c>
      <c r="D10" s="31" t="s">
        <v>95</v>
      </c>
      <c r="E10" s="31" t="s">
        <v>96</v>
      </c>
      <c r="F10" s="31" t="s">
        <v>18</v>
      </c>
      <c r="G10" s="31" t="s">
        <v>97</v>
      </c>
      <c r="H10" s="31" t="s">
        <v>98</v>
      </c>
      <c r="I10" s="31" t="s">
        <v>99</v>
      </c>
      <c r="J10" s="31" t="s">
        <v>100</v>
      </c>
      <c r="K10" s="40" t="s">
        <v>101</v>
      </c>
      <c r="L10" s="40" t="s">
        <v>102</v>
      </c>
      <c r="M10" s="40" t="s">
        <v>103</v>
      </c>
      <c r="N10" s="40" t="s">
        <v>104</v>
      </c>
      <c r="O10" s="40" t="s">
        <v>105</v>
      </c>
      <c r="P10" s="40" t="s">
        <v>106</v>
      </c>
    </row>
    <row r="11" ht="135" spans="2:16">
      <c r="B11" s="34">
        <v>65041</v>
      </c>
      <c r="C11" s="34" t="s">
        <v>107</v>
      </c>
      <c r="D11" t="s">
        <v>108</v>
      </c>
      <c r="E11" s="34" t="s">
        <v>109</v>
      </c>
      <c r="F11" s="34" t="s">
        <v>18</v>
      </c>
      <c r="G11" s="34" t="s">
        <v>110</v>
      </c>
      <c r="H11" s="34" t="s">
        <v>111</v>
      </c>
      <c r="I11" s="34" t="s">
        <v>112</v>
      </c>
      <c r="J11" s="34" t="s">
        <v>113</v>
      </c>
      <c r="K11" s="35" t="s">
        <v>114</v>
      </c>
      <c r="L11" s="35" t="s">
        <v>115</v>
      </c>
      <c r="M11" s="35" t="s">
        <v>116</v>
      </c>
      <c r="N11" s="35" t="s">
        <v>117</v>
      </c>
      <c r="O11" s="35" t="s">
        <v>118</v>
      </c>
      <c r="P11" s="35" t="s">
        <v>119</v>
      </c>
    </row>
    <row r="12" ht="135" spans="2:16">
      <c r="B12" s="31">
        <v>64901</v>
      </c>
      <c r="C12" s="31" t="s">
        <v>120</v>
      </c>
      <c r="D12" s="32" t="s">
        <v>121</v>
      </c>
      <c r="E12" s="31" t="s">
        <v>122</v>
      </c>
      <c r="F12" s="31" t="s">
        <v>18</v>
      </c>
      <c r="G12" s="31" t="s">
        <v>123</v>
      </c>
      <c r="H12" s="31" t="s">
        <v>124</v>
      </c>
      <c r="I12" s="31" t="s">
        <v>125</v>
      </c>
      <c r="J12" s="31" t="s">
        <v>126</v>
      </c>
      <c r="K12" s="40" t="s">
        <v>127</v>
      </c>
      <c r="L12" s="40" t="s">
        <v>128</v>
      </c>
      <c r="M12" s="40" t="s">
        <v>129</v>
      </c>
      <c r="N12" s="40" t="s">
        <v>130</v>
      </c>
      <c r="O12" s="40" t="s">
        <v>131</v>
      </c>
      <c r="P12" s="40" t="s">
        <v>132</v>
      </c>
    </row>
    <row r="13" ht="150" spans="2:16">
      <c r="B13" s="34">
        <v>68350</v>
      </c>
      <c r="C13" s="34" t="s">
        <v>133</v>
      </c>
      <c r="D13" s="33" t="s">
        <v>134</v>
      </c>
      <c r="E13" s="34" t="s">
        <v>135</v>
      </c>
      <c r="F13" s="34" t="s">
        <v>18</v>
      </c>
      <c r="G13" s="34" t="s">
        <v>136</v>
      </c>
      <c r="H13" s="34" t="s">
        <v>137</v>
      </c>
      <c r="I13" s="34" t="s">
        <v>138</v>
      </c>
      <c r="J13" s="34" t="s">
        <v>139</v>
      </c>
      <c r="K13" s="35" t="s">
        <v>140</v>
      </c>
      <c r="L13" s="35" t="s">
        <v>141</v>
      </c>
      <c r="M13" s="35" t="s">
        <v>142</v>
      </c>
      <c r="N13" s="35" t="s">
        <v>143</v>
      </c>
      <c r="O13" s="35" t="s">
        <v>92</v>
      </c>
      <c r="P13" s="35" t="s">
        <v>144</v>
      </c>
    </row>
    <row r="14" spans="2:16"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</row>
    <row r="15" spans="2:16"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</row>
    <row r="16" spans="2:16"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</row>
    <row r="17" spans="2:16"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</row>
    <row r="18" spans="2:16"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34"/>
  <sheetViews>
    <sheetView zoomScale="70" zoomScaleNormal="70" topLeftCell="C5" workbookViewId="0">
      <selection activeCell="E17" sqref="E17"/>
    </sheetView>
  </sheetViews>
  <sheetFormatPr defaultColWidth="9.14285714285714" defaultRowHeight="15"/>
  <cols>
    <col min="2" max="2" width="42.7142857142857" customWidth="1"/>
    <col min="3" max="3" width="43" customWidth="1"/>
    <col min="4" max="4" width="22.5714285714286" customWidth="1"/>
    <col min="5" max="5" width="26.3238095238095" customWidth="1"/>
    <col min="6" max="6" width="17.1428571428571" customWidth="1"/>
    <col min="7" max="7" width="16.9333333333333" customWidth="1"/>
    <col min="8" max="9" width="20.6" customWidth="1"/>
    <col min="10" max="10" width="13.4666666666667" customWidth="1"/>
    <col min="11" max="11" width="17.552380952381" customWidth="1"/>
  </cols>
  <sheetData>
    <row r="2" spans="2:11">
      <c r="B2" s="1" t="s">
        <v>145</v>
      </c>
      <c r="C2" s="2" t="s">
        <v>146</v>
      </c>
      <c r="D2" s="3" t="s">
        <v>7</v>
      </c>
      <c r="E2" s="4" t="s">
        <v>9</v>
      </c>
      <c r="F2" s="5" t="s">
        <v>11</v>
      </c>
      <c r="G2" s="6" t="s">
        <v>13</v>
      </c>
      <c r="H2" s="7"/>
      <c r="I2" s="7"/>
      <c r="J2" s="7"/>
      <c r="K2" s="7"/>
    </row>
    <row r="3" spans="2:11">
      <c r="B3" s="8">
        <v>56</v>
      </c>
      <c r="C3" s="9" t="s">
        <v>147</v>
      </c>
      <c r="D3" s="10">
        <v>0</v>
      </c>
      <c r="E3" s="11">
        <v>0</v>
      </c>
      <c r="F3" s="11">
        <v>0</v>
      </c>
      <c r="G3" s="11">
        <v>0</v>
      </c>
      <c r="H3" s="12"/>
      <c r="I3" s="12"/>
      <c r="J3" s="12"/>
      <c r="K3" s="12"/>
    </row>
    <row r="4" spans="2:11">
      <c r="B4" s="13"/>
      <c r="C4" s="9" t="s">
        <v>148</v>
      </c>
      <c r="D4" s="11">
        <v>-1.18760621547698</v>
      </c>
      <c r="E4" s="11">
        <v>-0.763309478759765</v>
      </c>
      <c r="F4" s="11">
        <v>-0.885166764259338</v>
      </c>
      <c r="G4" s="11">
        <v>-1.21443212032318</v>
      </c>
      <c r="H4" s="12"/>
      <c r="I4" s="12"/>
      <c r="J4" s="12"/>
      <c r="K4" s="12"/>
    </row>
    <row r="5" spans="2:11">
      <c r="B5" s="14"/>
      <c r="C5" s="9" t="s">
        <v>149</v>
      </c>
      <c r="D5" s="9">
        <v>0</v>
      </c>
      <c r="E5" s="9">
        <v>0</v>
      </c>
      <c r="F5" s="9">
        <v>0</v>
      </c>
      <c r="G5" s="9">
        <v>0</v>
      </c>
      <c r="H5" s="12"/>
      <c r="I5" s="12"/>
      <c r="J5" s="12"/>
      <c r="K5" s="12"/>
    </row>
    <row r="6" spans="2:11">
      <c r="B6" s="15">
        <v>31224</v>
      </c>
      <c r="C6" s="16" t="s">
        <v>147</v>
      </c>
      <c r="D6" s="16">
        <v>0.533</v>
      </c>
      <c r="E6" s="16">
        <v>0.194</v>
      </c>
      <c r="F6" s="16">
        <v>0.54410719</v>
      </c>
      <c r="G6" s="16">
        <v>0.23836565</v>
      </c>
      <c r="H6" s="12"/>
      <c r="I6" s="12"/>
      <c r="J6" s="12"/>
      <c r="K6" s="12"/>
    </row>
    <row r="7" spans="2:11">
      <c r="B7" s="17"/>
      <c r="C7" s="18" t="s">
        <v>148</v>
      </c>
      <c r="D7" s="19">
        <v>-0.727161109447479</v>
      </c>
      <c r="E7" s="19">
        <v>-0.741633474826812</v>
      </c>
      <c r="F7" s="19">
        <v>-0.532227575778961</v>
      </c>
      <c r="G7" s="19">
        <v>-0.470312803983688</v>
      </c>
      <c r="H7" s="12"/>
      <c r="I7" s="12"/>
      <c r="J7" s="12"/>
      <c r="K7" s="12"/>
    </row>
    <row r="8" spans="2:11">
      <c r="B8" s="20"/>
      <c r="C8" s="18" t="s">
        <v>149</v>
      </c>
      <c r="D8" s="18">
        <v>0.199999999999999</v>
      </c>
      <c r="E8" s="18">
        <v>0.08</v>
      </c>
      <c r="F8" s="18">
        <v>0.176470588235294</v>
      </c>
      <c r="G8" s="18">
        <v>0.153846153846153</v>
      </c>
      <c r="H8" s="12"/>
      <c r="I8" s="12"/>
      <c r="J8" s="12"/>
      <c r="K8" s="12"/>
    </row>
    <row r="9" spans="2:11">
      <c r="B9" s="8">
        <v>64101</v>
      </c>
      <c r="C9" s="9" t="s">
        <v>147</v>
      </c>
      <c r="D9" s="9">
        <v>0.64679384</v>
      </c>
      <c r="E9" s="9">
        <v>0.1681682</v>
      </c>
      <c r="F9" s="9">
        <v>0.19034675</v>
      </c>
      <c r="G9" s="9">
        <v>0</v>
      </c>
      <c r="H9" s="12"/>
      <c r="I9" s="27"/>
      <c r="J9" s="12"/>
      <c r="K9" s="12"/>
    </row>
    <row r="10" spans="2:11">
      <c r="B10" s="13"/>
      <c r="C10" s="9" t="s">
        <v>148</v>
      </c>
      <c r="D10" s="10">
        <v>-0.828444480895996</v>
      </c>
      <c r="E10" s="10">
        <v>-0.749210476875305</v>
      </c>
      <c r="F10" s="10">
        <v>-0.0417467504739761</v>
      </c>
      <c r="G10" s="10">
        <v>-1.3615688085556</v>
      </c>
      <c r="H10" s="12"/>
      <c r="I10" s="12"/>
      <c r="J10" s="12"/>
      <c r="K10" s="12"/>
    </row>
    <row r="11" spans="2:11">
      <c r="B11" s="14"/>
      <c r="C11" s="9" t="s">
        <v>149</v>
      </c>
      <c r="D11" s="10">
        <v>0.133333333333333</v>
      </c>
      <c r="E11" s="10">
        <v>0.054054054054054</v>
      </c>
      <c r="F11" s="10">
        <v>0.15</v>
      </c>
      <c r="G11" s="10">
        <v>0.17391304347826</v>
      </c>
      <c r="H11" s="12"/>
      <c r="I11" s="12"/>
      <c r="J11" s="12"/>
      <c r="K11" s="12"/>
    </row>
    <row r="12" spans="2:11">
      <c r="B12" s="15">
        <v>68350</v>
      </c>
      <c r="C12" s="16" t="s">
        <v>147</v>
      </c>
      <c r="D12" s="16">
        <v>0.25125945</v>
      </c>
      <c r="E12" s="16">
        <v>0.69739114</v>
      </c>
      <c r="F12" s="16">
        <v>0.17766726</v>
      </c>
      <c r="G12" s="16">
        <v>0</v>
      </c>
      <c r="H12" s="12"/>
      <c r="I12" s="12"/>
      <c r="J12" s="12"/>
      <c r="K12" s="12"/>
    </row>
    <row r="13" spans="2:11">
      <c r="B13" s="17"/>
      <c r="C13" s="18" t="s">
        <v>148</v>
      </c>
      <c r="D13" s="21">
        <v>-0.747830927371978</v>
      </c>
      <c r="E13" s="18">
        <v>-0.446817517280578</v>
      </c>
      <c r="F13" s="21">
        <v>-0.0917387157678604</v>
      </c>
      <c r="G13" s="18">
        <v>-0.878017723560333</v>
      </c>
      <c r="H13" s="12"/>
      <c r="I13" s="12"/>
      <c r="J13" s="12"/>
      <c r="K13" s="12"/>
    </row>
    <row r="14" spans="2:11">
      <c r="B14" s="20"/>
      <c r="C14" s="18" t="s">
        <v>149</v>
      </c>
      <c r="D14" s="18">
        <v>0.0869565217391304</v>
      </c>
      <c r="E14" s="18">
        <v>0.13333</v>
      </c>
      <c r="F14" s="18">
        <v>0.074747474</v>
      </c>
      <c r="G14" s="18">
        <v>0</v>
      </c>
      <c r="H14" s="12"/>
      <c r="I14" s="12"/>
      <c r="J14" s="12"/>
      <c r="K14" s="12"/>
    </row>
    <row r="15" spans="2:11">
      <c r="B15" s="8">
        <v>27229</v>
      </c>
      <c r="C15" s="9" t="s">
        <v>147</v>
      </c>
      <c r="D15" s="9">
        <v>0</v>
      </c>
      <c r="E15" s="9">
        <v>0</v>
      </c>
      <c r="F15" s="9">
        <v>0.186339</v>
      </c>
      <c r="G15" s="9">
        <v>0.29880715</v>
      </c>
      <c r="H15" s="12"/>
      <c r="I15" s="12"/>
      <c r="J15" s="12"/>
      <c r="K15" s="12"/>
    </row>
    <row r="16" spans="2:11">
      <c r="B16" s="13"/>
      <c r="C16" s="9" t="s">
        <v>148</v>
      </c>
      <c r="D16" s="9">
        <v>-0.852047562599182</v>
      </c>
      <c r="E16" s="9">
        <v>-0.942039966583252</v>
      </c>
      <c r="F16" s="9">
        <v>-0.870439887046814</v>
      </c>
      <c r="G16" s="11">
        <v>-1.0385822057724</v>
      </c>
      <c r="H16" s="12"/>
      <c r="I16" s="12"/>
      <c r="J16" s="12"/>
      <c r="K16" s="12"/>
    </row>
    <row r="17" spans="2:11">
      <c r="B17" s="14"/>
      <c r="C17" s="9" t="s">
        <v>149</v>
      </c>
      <c r="D17" s="11">
        <v>0</v>
      </c>
      <c r="E17" s="11">
        <v>0</v>
      </c>
      <c r="F17" s="11">
        <v>0.0625</v>
      </c>
      <c r="G17" s="11">
        <v>0.08</v>
      </c>
      <c r="H17" s="12"/>
      <c r="I17" s="12"/>
      <c r="J17" s="12"/>
      <c r="K17" s="12"/>
    </row>
    <row r="18" spans="2:11">
      <c r="B18" s="15">
        <v>51271</v>
      </c>
      <c r="C18" s="16" t="s">
        <v>147</v>
      </c>
      <c r="D18" s="18">
        <v>0</v>
      </c>
      <c r="E18" s="18">
        <v>0.55901699</v>
      </c>
      <c r="F18" s="18">
        <v>0.07804882</v>
      </c>
      <c r="G18" s="18">
        <v>0</v>
      </c>
      <c r="H18" s="12"/>
      <c r="I18" s="12"/>
      <c r="J18" s="12"/>
      <c r="K18" s="12"/>
    </row>
    <row r="19" spans="2:11">
      <c r="B19" s="17"/>
      <c r="C19" s="18" t="s">
        <v>148</v>
      </c>
      <c r="D19" s="18">
        <v>-1.29779267311096</v>
      </c>
      <c r="E19" s="18">
        <v>-1.11042094230651</v>
      </c>
      <c r="F19" s="18">
        <v>-0.791964471340179</v>
      </c>
      <c r="G19" s="18">
        <v>-1.22767293453216</v>
      </c>
      <c r="H19" s="12"/>
      <c r="I19" s="12"/>
      <c r="J19" s="12"/>
      <c r="K19" s="12"/>
    </row>
    <row r="20" spans="2:11">
      <c r="B20" s="20"/>
      <c r="C20" s="18" t="s">
        <v>149</v>
      </c>
      <c r="D20" s="18">
        <v>0</v>
      </c>
      <c r="E20" s="18">
        <v>0.095238095</v>
      </c>
      <c r="F20" s="18">
        <v>0.0563157894</v>
      </c>
      <c r="G20" s="18">
        <v>0</v>
      </c>
      <c r="H20" s="12"/>
      <c r="I20" s="12"/>
      <c r="J20" s="12"/>
      <c r="K20" s="12"/>
    </row>
    <row r="21" spans="2:11">
      <c r="B21" s="8">
        <v>64901</v>
      </c>
      <c r="C21" s="9" t="s">
        <v>147</v>
      </c>
      <c r="D21" s="9">
        <v>0</v>
      </c>
      <c r="E21" s="9">
        <v>0</v>
      </c>
      <c r="F21" s="9">
        <v>0</v>
      </c>
      <c r="G21" s="9">
        <v>0</v>
      </c>
      <c r="H21" s="12"/>
      <c r="I21" s="12"/>
      <c r="J21" s="12"/>
      <c r="K21" s="12"/>
    </row>
    <row r="22" spans="2:11">
      <c r="B22" s="13"/>
      <c r="C22" s="9" t="s">
        <v>148</v>
      </c>
      <c r="D22" s="9">
        <v>-0.960704803466796</v>
      </c>
      <c r="E22" s="9">
        <v>-1.23593342304229</v>
      </c>
      <c r="F22" s="9">
        <v>-0.728023648262023</v>
      </c>
      <c r="G22" s="9">
        <v>-1.35263788700103</v>
      </c>
      <c r="H22" s="12"/>
      <c r="I22" s="12"/>
      <c r="J22" s="12"/>
      <c r="K22" s="12"/>
    </row>
    <row r="23" spans="2:11">
      <c r="B23" s="14"/>
      <c r="C23" s="9" t="s">
        <v>149</v>
      </c>
      <c r="D23" s="9">
        <v>0</v>
      </c>
      <c r="E23" s="9">
        <v>0</v>
      </c>
      <c r="F23" s="9">
        <v>0</v>
      </c>
      <c r="G23" s="9">
        <v>0</v>
      </c>
      <c r="H23" s="12"/>
      <c r="I23" s="12"/>
      <c r="J23" s="12"/>
      <c r="K23" s="12"/>
    </row>
    <row r="24" spans="2:11">
      <c r="B24" s="15">
        <v>61707</v>
      </c>
      <c r="C24" s="16" t="s">
        <v>147</v>
      </c>
      <c r="D24" s="18">
        <v>0</v>
      </c>
      <c r="E24" s="21">
        <v>0.372678</v>
      </c>
      <c r="F24" s="18">
        <v>0.10838875</v>
      </c>
      <c r="G24" s="18">
        <v>0</v>
      </c>
      <c r="H24" s="12"/>
      <c r="I24" s="12"/>
      <c r="J24" s="12"/>
      <c r="K24" s="12"/>
    </row>
    <row r="25" spans="2:11">
      <c r="B25" s="17"/>
      <c r="C25" s="16" t="s">
        <v>148</v>
      </c>
      <c r="D25" s="18">
        <v>-0.951411306858062</v>
      </c>
      <c r="E25" s="18">
        <v>-0.751265227794647</v>
      </c>
      <c r="F25" s="18">
        <v>-0.567208051681518</v>
      </c>
      <c r="G25" s="18">
        <v>-1.12703239917755</v>
      </c>
      <c r="H25" s="12"/>
      <c r="I25" s="12"/>
      <c r="J25" s="12"/>
      <c r="K25" s="12"/>
    </row>
    <row r="26" spans="2:11">
      <c r="B26" s="20"/>
      <c r="C26" s="16" t="s">
        <v>149</v>
      </c>
      <c r="D26" s="18">
        <v>0.076932</v>
      </c>
      <c r="E26" s="18">
        <v>0.1333333</v>
      </c>
      <c r="F26" s="18">
        <v>0.05263157894</v>
      </c>
      <c r="G26" s="18">
        <v>0</v>
      </c>
      <c r="H26" s="12"/>
      <c r="I26" s="12"/>
      <c r="J26" s="12"/>
      <c r="K26" s="12"/>
    </row>
    <row r="27" spans="2:11">
      <c r="B27" s="8">
        <v>43593</v>
      </c>
      <c r="C27" s="9" t="s">
        <v>147</v>
      </c>
      <c r="D27" s="11">
        <v>0</v>
      </c>
      <c r="E27" s="11">
        <v>0</v>
      </c>
      <c r="F27" s="11">
        <v>0</v>
      </c>
      <c r="G27" s="11">
        <v>0</v>
      </c>
      <c r="H27" s="12"/>
      <c r="I27" s="12"/>
      <c r="J27" s="12"/>
      <c r="K27" s="12"/>
    </row>
    <row r="28" spans="2:11">
      <c r="B28" s="13"/>
      <c r="C28" s="9" t="s">
        <v>148</v>
      </c>
      <c r="D28" s="11">
        <v>-0.972928404808044</v>
      </c>
      <c r="E28" s="11">
        <v>-1.14268851280212</v>
      </c>
      <c r="F28" s="11">
        <v>-1.16665005683898</v>
      </c>
      <c r="G28" s="11">
        <v>-1.11299681663513</v>
      </c>
      <c r="H28" s="12"/>
      <c r="I28" s="12"/>
      <c r="J28" s="12"/>
      <c r="K28" s="12"/>
    </row>
    <row r="29" spans="2:11">
      <c r="B29" s="14"/>
      <c r="C29" s="9" t="s">
        <v>149</v>
      </c>
      <c r="D29" s="11">
        <v>0.08</v>
      </c>
      <c r="E29" s="11">
        <v>0.076932</v>
      </c>
      <c r="F29" s="11">
        <v>0.096392</v>
      </c>
      <c r="G29" s="11">
        <v>0.06894551</v>
      </c>
      <c r="H29" s="12"/>
      <c r="I29" s="12"/>
      <c r="J29" s="12"/>
      <c r="K29" s="12"/>
    </row>
    <row r="30" spans="2:11">
      <c r="B30" s="22">
        <v>65041</v>
      </c>
      <c r="C30" s="16" t="s">
        <v>147</v>
      </c>
      <c r="D30" s="23">
        <v>0</v>
      </c>
      <c r="E30" s="19">
        <v>0.33407655</v>
      </c>
      <c r="F30" s="19">
        <v>1.54462783</v>
      </c>
      <c r="G30" s="19">
        <v>0</v>
      </c>
      <c r="H30" s="12"/>
      <c r="I30" s="12"/>
      <c r="J30" s="12"/>
      <c r="K30" s="12"/>
    </row>
    <row r="31" spans="2:11">
      <c r="B31" s="22"/>
      <c r="C31" s="18" t="s">
        <v>148</v>
      </c>
      <c r="D31" s="19">
        <v>-1.31039559841156</v>
      </c>
      <c r="E31" s="19">
        <v>-0.764739334583282</v>
      </c>
      <c r="F31" s="19">
        <v>-0.39174398779869</v>
      </c>
      <c r="G31" s="19">
        <v>-0.69478154182434</v>
      </c>
      <c r="H31" s="12"/>
      <c r="I31" s="12"/>
      <c r="J31" s="12"/>
      <c r="K31" s="12"/>
    </row>
    <row r="32" spans="2:11">
      <c r="B32" s="22"/>
      <c r="C32" s="18" t="s">
        <v>149</v>
      </c>
      <c r="D32" s="19">
        <v>0.111111</v>
      </c>
      <c r="E32" s="19">
        <v>0.1818181818</v>
      </c>
      <c r="F32" s="19">
        <v>0.42105</v>
      </c>
      <c r="G32" s="19">
        <v>0.1333</v>
      </c>
      <c r="H32" s="12"/>
      <c r="I32" s="12"/>
      <c r="J32" s="12"/>
      <c r="K32" s="12"/>
    </row>
    <row r="33" spans="2:11">
      <c r="B33" s="24"/>
      <c r="C33" s="24"/>
      <c r="D33" s="24"/>
      <c r="E33" s="24"/>
      <c r="F33" s="24"/>
      <c r="G33" s="24"/>
      <c r="H33" s="24"/>
      <c r="I33" s="24"/>
      <c r="J33" s="24"/>
      <c r="K33" s="24"/>
    </row>
    <row r="34" spans="2:11">
      <c r="B34" s="24"/>
      <c r="C34" s="18" t="s">
        <v>150</v>
      </c>
      <c r="D34" s="25">
        <f>AVERAGE(D3:D32)</f>
        <v>-0.257231231245819</v>
      </c>
      <c r="E34" s="25">
        <f>AVERAGE(E3:E32)</f>
        <v>-0.18560072813335</v>
      </c>
      <c r="F34" s="25">
        <f>AVERAGE(F3:F32)</f>
        <v>-0.0715758959557682</v>
      </c>
      <c r="G34" s="25">
        <f>AVERAGE(G3:G32)</f>
        <v>-0.3110285911347</v>
      </c>
      <c r="H34" s="26"/>
      <c r="I34" s="26"/>
      <c r="J34" s="26"/>
      <c r="K34" s="26"/>
    </row>
  </sheetData>
  <mergeCells count="10"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Descript</vt:lpstr>
      <vt:lpstr>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</dc:creator>
  <cp:lastModifiedBy>crist</cp:lastModifiedBy>
  <dcterms:created xsi:type="dcterms:W3CDTF">2025-07-28T00:47:00Z</dcterms:created>
  <dcterms:modified xsi:type="dcterms:W3CDTF">2025-08-13T15:34:25Z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7EA1123D06A74E44B9BC6145AD9EF0FD_11</vt:lpwstr>
  </property>
  <property fmtid="{D5CDD505-2E9C-101B-9397-08002B2CF9AE}" pid="3" name="KSOProductBuildVer">
    <vt:lpwstr>3082-12.2.0.22222</vt:lpwstr>
  </property>
</Properties>
</file>